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chil\Desktop\"/>
    </mc:Choice>
  </mc:AlternateContent>
  <xr:revisionPtr revIDLastSave="0" documentId="13_ncr:9_{4C6CC892-EA6A-4D0F-8873-04C385746B24}" xr6:coauthVersionLast="47" xr6:coauthVersionMax="47" xr10:uidLastSave="{00000000-0000-0000-0000-000000000000}"/>
  <bookViews>
    <workbookView xWindow="-98" yWindow="-98" windowWidth="21795" windowHeight="12975" xr2:uid="{141C4B4F-EF2D-4755-9B5E-953C97D462DD}"/>
  </bookViews>
  <sheets>
    <sheet name="monthly-financial-reconciliatio" sheetId="1" r:id="rId1"/>
  </sheets>
  <calcPr calcId="0"/>
</workbook>
</file>

<file path=xl/calcChain.xml><?xml version="1.0" encoding="utf-8"?>
<calcChain xmlns="http://schemas.openxmlformats.org/spreadsheetml/2006/main">
  <c r="F6" i="1" l="1"/>
  <c r="F5" i="1"/>
  <c r="F4" i="1"/>
  <c r="F3" i="1"/>
  <c r="F2" i="1"/>
</calcChain>
</file>

<file path=xl/sharedStrings.xml><?xml version="1.0" encoding="utf-8"?>
<sst xmlns="http://schemas.openxmlformats.org/spreadsheetml/2006/main" count="9" uniqueCount="7">
  <si>
    <t>Total Actual</t>
  </si>
  <si>
    <t>MonthStart</t>
  </si>
  <si>
    <t>Total Budget</t>
  </si>
  <si>
    <t>Reconciliation Check</t>
  </si>
  <si>
    <t>Variance</t>
  </si>
  <si>
    <t>Variance %</t>
  </si>
  <si>
    <t>Validation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</si>
</sst>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8" fontId="0" fillId="0" borderId="0" xfId="0" applyNumberFormat="1"/>
    <xf numFmtId="22" fontId="0" fillId="0" borderId="0" xfId="0" applyNumberFormat="1"/>
    <xf numFmtId="10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B8F21-3438-4875-BAEC-20E9A0CF0315}">
  <dimension ref="A1:F25"/>
  <sheetViews>
    <sheetView tabSelected="1" workbookViewId="0">
      <selection activeCell="E10" sqref="E10"/>
    </sheetView>
  </sheetViews>
  <sheetFormatPr defaultRowHeight="14.25" x14ac:dyDescent="0.45"/>
  <cols>
    <col min="1" max="1" width="14" bestFit="1" customWidth="1"/>
    <col min="2" max="2" width="12.86328125" bestFit="1" customWidth="1"/>
    <col min="3" max="3" width="14" bestFit="1" customWidth="1"/>
    <col min="5" max="5" width="17.9296875" customWidth="1"/>
    <col min="6" max="6" width="19.1328125" customWidth="1"/>
  </cols>
  <sheetData>
    <row r="1" spans="1:6" x14ac:dyDescent="0.45">
      <c r="A1" t="s">
        <v>0</v>
      </c>
      <c r="B1" t="s">
        <v>1</v>
      </c>
      <c r="C1" t="s">
        <v>2</v>
      </c>
      <c r="E1" t="s">
        <v>3</v>
      </c>
    </row>
    <row r="2" spans="1:6" x14ac:dyDescent="0.45">
      <c r="A2" s="1">
        <v>55361948.030000001</v>
      </c>
      <c r="B2" s="2">
        <v>45658</v>
      </c>
      <c r="C2" s="1">
        <v>56370611.18</v>
      </c>
      <c r="E2" t="s">
        <v>0</v>
      </c>
      <c r="F2" s="1">
        <f>SUM(A2:A25)</f>
        <v>1402762391.3399997</v>
      </c>
    </row>
    <row r="3" spans="1:6" x14ac:dyDescent="0.45">
      <c r="A3" s="1">
        <v>57626585.810000002</v>
      </c>
      <c r="B3" s="2">
        <v>45689</v>
      </c>
      <c r="C3" s="1">
        <v>57569437.189999998</v>
      </c>
      <c r="E3" t="s">
        <v>2</v>
      </c>
      <c r="F3" s="1">
        <f>SUM(C2:C25)</f>
        <v>1404832728.4799998</v>
      </c>
    </row>
    <row r="4" spans="1:6" x14ac:dyDescent="0.45">
      <c r="A4" s="1">
        <v>57841597.509999998</v>
      </c>
      <c r="B4" s="2">
        <v>45717</v>
      </c>
      <c r="C4" s="1">
        <v>57735053.119999997</v>
      </c>
      <c r="E4" t="s">
        <v>4</v>
      </c>
      <c r="F4" s="1">
        <f>F2-F3</f>
        <v>-2070337.1400001049</v>
      </c>
    </row>
    <row r="5" spans="1:6" x14ac:dyDescent="0.45">
      <c r="A5" s="1">
        <v>56477395.100000001</v>
      </c>
      <c r="B5" s="2">
        <v>45748</v>
      </c>
      <c r="C5" s="1">
        <v>57466264</v>
      </c>
      <c r="E5" t="s">
        <v>5</v>
      </c>
      <c r="F5" s="3">
        <f>F4/F3</f>
        <v>-1.4737250193766253E-3</v>
      </c>
    </row>
    <row r="6" spans="1:6" x14ac:dyDescent="0.45">
      <c r="A6" s="1">
        <v>57378596.600000001</v>
      </c>
      <c r="B6" s="2">
        <v>45778</v>
      </c>
      <c r="C6" s="1">
        <v>56781593.719999999</v>
      </c>
      <c r="E6" t="s">
        <v>6</v>
      </c>
      <c r="F6" t="str">
        <f>IF(AND(ABS(F2-SUM(A2:A25))&lt;0.01,ABS(F3-SUM(C2:C25))&lt;0.01,ABS(F4-(F2-F3))&lt;0.01,ABS(F5-IFERROR(F4/F3,0))&lt;0.000001),"PASS","FAIL")</f>
        <v>PASS</v>
      </c>
    </row>
    <row r="7" spans="1:6" x14ac:dyDescent="0.45">
      <c r="A7" s="1">
        <v>58455811.060000002</v>
      </c>
      <c r="B7" s="2">
        <v>45809</v>
      </c>
      <c r="C7" s="1">
        <v>58151043.909999996</v>
      </c>
    </row>
    <row r="8" spans="1:6" x14ac:dyDescent="0.45">
      <c r="A8" s="1">
        <v>58060310.799999997</v>
      </c>
      <c r="B8" s="2">
        <v>45839</v>
      </c>
      <c r="C8" s="1">
        <v>57745562.899999999</v>
      </c>
    </row>
    <row r="9" spans="1:6" x14ac:dyDescent="0.45">
      <c r="A9" s="1">
        <v>56152497.380000003</v>
      </c>
      <c r="B9" s="2">
        <v>45870</v>
      </c>
      <c r="C9" s="1">
        <v>57191268.609999999</v>
      </c>
    </row>
    <row r="10" spans="1:6" x14ac:dyDescent="0.45">
      <c r="A10" s="1">
        <v>58698974.640000001</v>
      </c>
      <c r="B10" s="2">
        <v>45901</v>
      </c>
      <c r="C10" s="1">
        <v>57866028.649999999</v>
      </c>
    </row>
    <row r="11" spans="1:6" x14ac:dyDescent="0.45">
      <c r="A11" s="1">
        <v>57560569.310000002</v>
      </c>
      <c r="B11" s="2">
        <v>45931</v>
      </c>
      <c r="C11" s="1">
        <v>57842297.25</v>
      </c>
    </row>
    <row r="12" spans="1:6" x14ac:dyDescent="0.45">
      <c r="A12" s="1">
        <v>58544406.740000002</v>
      </c>
      <c r="B12" s="2">
        <v>45962</v>
      </c>
      <c r="C12" s="1">
        <v>57440542.079999998</v>
      </c>
    </row>
    <row r="13" spans="1:6" x14ac:dyDescent="0.45">
      <c r="A13" s="1">
        <v>58640014.810000002</v>
      </c>
      <c r="B13" s="2">
        <v>45992</v>
      </c>
      <c r="C13" s="1">
        <v>58748285.43</v>
      </c>
    </row>
    <row r="14" spans="1:6" x14ac:dyDescent="0.45">
      <c r="A14" s="1">
        <v>59293691.850000001</v>
      </c>
      <c r="B14" s="2">
        <v>46023</v>
      </c>
      <c r="C14" s="1">
        <v>59117854.829999998</v>
      </c>
    </row>
    <row r="15" spans="1:6" x14ac:dyDescent="0.45">
      <c r="A15" s="1">
        <v>57582353.079999998</v>
      </c>
      <c r="B15" s="2">
        <v>46054</v>
      </c>
      <c r="C15" s="1">
        <v>59353703.289999999</v>
      </c>
    </row>
    <row r="16" spans="1:6" x14ac:dyDescent="0.45">
      <c r="A16" s="1">
        <v>59663774.899999999</v>
      </c>
      <c r="B16" s="2">
        <v>46082</v>
      </c>
      <c r="C16" s="1">
        <v>59276380.390000001</v>
      </c>
    </row>
    <row r="17" spans="1:3" x14ac:dyDescent="0.45">
      <c r="A17" s="1">
        <v>59317460.689999998</v>
      </c>
      <c r="B17" s="2">
        <v>46113</v>
      </c>
      <c r="C17" s="1">
        <v>59692889.219999999</v>
      </c>
    </row>
    <row r="18" spans="1:3" x14ac:dyDescent="0.45">
      <c r="A18" s="1">
        <v>59700656.850000001</v>
      </c>
      <c r="B18" s="2">
        <v>46143</v>
      </c>
      <c r="C18" s="1">
        <v>59052796.920000002</v>
      </c>
    </row>
    <row r="19" spans="1:3" x14ac:dyDescent="0.45">
      <c r="A19" s="1">
        <v>60336518.600000001</v>
      </c>
      <c r="B19" s="2">
        <v>46174</v>
      </c>
      <c r="C19" s="1">
        <v>59209595.369999997</v>
      </c>
    </row>
    <row r="20" spans="1:3" x14ac:dyDescent="0.45">
      <c r="A20" s="1">
        <v>59229659.590000004</v>
      </c>
      <c r="B20" s="2">
        <v>46204</v>
      </c>
      <c r="C20" s="1">
        <v>60236497.789999999</v>
      </c>
    </row>
    <row r="21" spans="1:3" x14ac:dyDescent="0.45">
      <c r="A21" s="1">
        <v>57821728.299999997</v>
      </c>
      <c r="B21" s="2">
        <v>46235</v>
      </c>
      <c r="C21" s="1">
        <v>59303613.759999998</v>
      </c>
    </row>
    <row r="22" spans="1:3" x14ac:dyDescent="0.45">
      <c r="A22" s="1">
        <v>59538710.049999997</v>
      </c>
      <c r="B22" s="2">
        <v>46266</v>
      </c>
      <c r="C22" s="1">
        <v>59327689.039999999</v>
      </c>
    </row>
    <row r="23" spans="1:3" x14ac:dyDescent="0.45">
      <c r="A23" s="1">
        <v>58388601.039999999</v>
      </c>
      <c r="B23" s="2">
        <v>46296</v>
      </c>
      <c r="C23" s="1">
        <v>58583392.439999998</v>
      </c>
    </row>
    <row r="24" spans="1:3" x14ac:dyDescent="0.45">
      <c r="A24" s="1">
        <v>60892810.270000003</v>
      </c>
      <c r="B24" s="2">
        <v>46327</v>
      </c>
      <c r="C24" s="1">
        <v>59910124.850000001</v>
      </c>
    </row>
    <row r="25" spans="1:3" x14ac:dyDescent="0.45">
      <c r="A25" s="1">
        <v>60197718.329999998</v>
      </c>
      <c r="B25" s="2">
        <v>46357</v>
      </c>
      <c r="C25" s="1">
        <v>60860202.539999999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monthly-financial-reconciliatio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Keerthi Chiluveru</cp:lastModifiedBy>
  <dcterms:created xsi:type="dcterms:W3CDTF">2026-10-09T18:41:36Z</dcterms:created>
  <dcterms:modified xsi:type="dcterms:W3CDTF">2026-10-09T19:19:54Z</dcterms:modified>
</cp:coreProperties>
</file>